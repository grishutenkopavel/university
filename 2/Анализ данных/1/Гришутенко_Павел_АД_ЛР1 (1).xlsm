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22"/>
  <workbookPr defaultThemeVersion="166925"/>
  <xr:revisionPtr revIDLastSave="0" documentId="8_{33D8D0E5-434F-4F65-9BB7-1F8A546D5AD8}" xr6:coauthVersionLast="45" xr6:coauthVersionMax="45" xr10:uidLastSave="{00000000-0000-0000-0000-000000000000}"/>
  <bookViews>
    <workbookView xWindow="0" yWindow="0" windowWidth="16384" windowHeight="8192" tabRatio="500" firstSheet="1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" i="2" l="1"/>
  <c r="E2" i="2"/>
  <c r="D2" i="2" l="1"/>
  <c r="D16" i="5" l="1"/>
  <c r="D15" i="5"/>
  <c r="D14" i="5"/>
  <c r="C16" i="5"/>
  <c r="C15" i="5"/>
  <c r="C14" i="5"/>
  <c r="D10" i="5"/>
  <c r="D9" i="5"/>
  <c r="D8" i="5"/>
  <c r="C10" i="5"/>
  <c r="C9" i="5"/>
  <c r="C2" i="5"/>
  <c r="C8" i="5"/>
  <c r="E14" i="5"/>
  <c r="E8" i="5"/>
  <c r="H2" i="3"/>
  <c r="F8" i="5" l="1"/>
  <c r="F14" i="5"/>
  <c r="G14" i="5" s="1"/>
  <c r="H14" i="5" s="1"/>
  <c r="I14" i="5" s="1"/>
  <c r="G8" i="5"/>
  <c r="H8" i="5" s="1"/>
  <c r="I8" i="5" s="1"/>
  <c r="C2" i="2"/>
  <c r="D4" i="5"/>
  <c r="C4" i="5"/>
  <c r="D3" i="5"/>
  <c r="C3" i="5"/>
  <c r="D2" i="5"/>
  <c r="E2" i="5"/>
  <c r="B18" i="5" s="1"/>
  <c r="D6" i="4"/>
  <c r="C6" i="4"/>
  <c r="D5" i="4"/>
  <c r="C5" i="4"/>
  <c r="D4" i="4"/>
  <c r="C4" i="4"/>
  <c r="D3" i="4"/>
  <c r="C3" i="4"/>
  <c r="D2" i="4"/>
  <c r="C2" i="4"/>
  <c r="E2" i="4" s="1"/>
  <c r="D4" i="3"/>
  <c r="C4" i="3"/>
  <c r="D3" i="3"/>
  <c r="C3" i="3"/>
  <c r="D2" i="3"/>
  <c r="C2" i="3"/>
  <c r="E2" i="3" s="1"/>
  <c r="D6" i="2"/>
  <c r="C6" i="2"/>
  <c r="D5" i="2"/>
  <c r="C5" i="2"/>
  <c r="D4" i="2"/>
  <c r="C4" i="2"/>
  <c r="D3" i="2"/>
  <c r="C3" i="2"/>
  <c r="D6" i="1"/>
  <c r="C6" i="1"/>
  <c r="D5" i="1"/>
  <c r="C5" i="1"/>
  <c r="D4" i="1"/>
  <c r="C4" i="1"/>
  <c r="D3" i="1"/>
  <c r="C3" i="1"/>
  <c r="D2" i="1"/>
  <c r="C2" i="1"/>
  <c r="E2" i="1" s="1"/>
  <c r="F2" i="5" l="1"/>
  <c r="G2" i="5" s="1"/>
  <c r="H2" i="5" s="1"/>
  <c r="F2" i="3"/>
  <c r="G2" i="2"/>
  <c r="F2" i="1"/>
  <c r="G2" i="1" s="1"/>
  <c r="H2" i="1" s="1"/>
  <c r="I2" i="1" s="1"/>
  <c r="H2" i="2"/>
  <c r="I2" i="2" s="1"/>
  <c r="G2" i="3"/>
  <c r="I2" i="3" s="1"/>
  <c r="F2" i="4"/>
  <c r="G2" i="4" s="1"/>
  <c r="H2" i="4" s="1"/>
  <c r="I2" i="4" s="1"/>
  <c r="I2" i="5"/>
</calcChain>
</file>

<file path=xl/sharedStrings.xml><?xml version="1.0" encoding="utf-8"?>
<sst xmlns="http://schemas.openxmlformats.org/spreadsheetml/2006/main" count="72" uniqueCount="28">
  <si>
    <t>n</t>
  </si>
  <si>
    <t>d, мм</t>
  </si>
  <si>
    <t>di-d0</t>
  </si>
  <si>
    <t>(di-d0)²</t>
  </si>
  <si>
    <t>среднее
d</t>
  </si>
  <si>
    <t>средне-
квадратичная 
погрешность</t>
  </si>
  <si>
    <t>станд.
Отклонение</t>
  </si>
  <si>
    <t>абсол.
Погрешн.</t>
  </si>
  <si>
    <t>относит.
Погрешн.</t>
  </si>
  <si>
    <t>d0</t>
  </si>
  <si>
    <t>d, c</t>
  </si>
  <si>
    <t>Водитель автомобиля замеряет время разгона электрокара от 0 до 100 км/ч. После пяти замеров получились следующие результаты: 3.7, 3.6, 3.4, 4.0, 3.8 с. Производитель электрокара утверждает, что время разгона электрокара от 0 до 100 км/ч составляет 3.4 с. Цель определить погрешность измерений водителя.</t>
  </si>
  <si>
    <t>b, мм</t>
  </si>
  <si>
    <t>bi-b0</t>
  </si>
  <si>
    <t>(bi-b0)²</t>
  </si>
  <si>
    <t>среднее
b</t>
  </si>
  <si>
    <t>b0</t>
  </si>
  <si>
    <t>a, мм</t>
  </si>
  <si>
    <t>ai-a0</t>
  </si>
  <si>
    <t>(ai-a0)²</t>
  </si>
  <si>
    <t xml:space="preserve">среднее a
</t>
  </si>
  <si>
    <t>a0</t>
  </si>
  <si>
    <t>h, мм</t>
  </si>
  <si>
    <t>hi-h0</t>
  </si>
  <si>
    <t>(hi-h0)²</t>
  </si>
  <si>
    <t>среднее
h</t>
  </si>
  <si>
    <t>h0</t>
  </si>
  <si>
    <t>S =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</si>
</sst>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333333"/>
      <name val="Arial"/>
      <family val="2"/>
    </font>
    <font>
      <i/>
      <sz val="10"/>
      <color rgb="FF808080"/>
      <name val="Arial"/>
      <family val="2"/>
    </font>
    <font>
      <u/>
      <sz val="10"/>
      <color rgb="FF0000EE"/>
      <name val="Arial"/>
      <family val="2"/>
    </font>
    <font>
      <sz val="10"/>
      <color rgb="FF006600"/>
      <name val="Arial"/>
      <family val="2"/>
    </font>
    <font>
      <sz val="10"/>
      <color rgb="FF9966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4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" fillId="0" borderId="0" applyBorder="0" applyAlignment="0" applyProtection="0"/>
    <xf numFmtId="0" fontId="2" fillId="0" borderId="0" applyBorder="0" applyAlignment="0" applyProtection="0"/>
    <xf numFmtId="0" fontId="3" fillId="0" borderId="0" applyBorder="0" applyAlignment="0" applyProtection="0"/>
    <xf numFmtId="0" fontId="14" fillId="0" borderId="0" applyFont="0" applyBorder="0" applyAlignment="0" applyProtection="0"/>
    <xf numFmtId="0" fontId="4" fillId="2" borderId="1" applyAlignment="0" applyProtection="0"/>
    <xf numFmtId="0" fontId="5" fillId="0" borderId="0" applyBorder="0" applyAlignment="0" applyProtection="0"/>
    <xf numFmtId="0" fontId="6" fillId="0" borderId="0" applyBorder="0" applyAlignment="0" applyProtection="0"/>
    <xf numFmtId="0" fontId="14" fillId="0" borderId="0" applyFont="0" applyBorder="0" applyAlignment="0" applyProtection="0"/>
    <xf numFmtId="0" fontId="7" fillId="3" borderId="0" applyBorder="0" applyAlignment="0" applyProtection="0"/>
    <xf numFmtId="0" fontId="8" fillId="2" borderId="0" applyBorder="0" applyAlignment="0" applyProtection="0"/>
    <xf numFmtId="0" fontId="9" fillId="4" borderId="0" applyBorder="0" applyAlignment="0" applyProtection="0"/>
    <xf numFmtId="0" fontId="9" fillId="0" borderId="0" applyBorder="0" applyAlignment="0" applyProtection="0"/>
    <xf numFmtId="0" fontId="10" fillId="5" borderId="0" applyBorder="0" applyAlignment="0" applyProtection="0"/>
    <xf numFmtId="0" fontId="11" fillId="0" borderId="0" applyBorder="0" applyAlignment="0" applyProtection="0"/>
    <xf numFmtId="0" fontId="12" fillId="6" borderId="0" applyBorder="0" applyAlignment="0" applyProtection="0"/>
    <xf numFmtId="0" fontId="12" fillId="7" borderId="0" applyBorder="0" applyAlignment="0" applyProtection="0"/>
    <xf numFmtId="0" fontId="11" fillId="8" borderId="0" applyBorder="0" applyAlignment="0" applyProtection="0"/>
  </cellStyleXfs>
  <cellXfs count="5">
    <xf numFmtId="0" fontId="0" fillId="0" borderId="0" xfId="0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18">
    <cellStyle name="Accent" xfId="14" xr:uid="{00000000-0005-0000-0000-000013000000}"/>
    <cellStyle name="Accent 1" xfId="15" xr:uid="{00000000-0005-0000-0000-000014000000}"/>
    <cellStyle name="Accent 2" xfId="16" xr:uid="{00000000-0005-0000-0000-000015000000}"/>
    <cellStyle name="Accent 3" xfId="17" xr:uid="{00000000-0005-0000-0000-000016000000}"/>
    <cellStyle name="Bad" xfId="11" xr:uid="{00000000-0005-0000-0000-000010000000}"/>
    <cellStyle name="Error" xfId="13" xr:uid="{00000000-0005-0000-0000-000012000000}"/>
    <cellStyle name="Footnote" xfId="6" xr:uid="{00000000-0005-0000-0000-00000B000000}"/>
    <cellStyle name="Good" xfId="9" xr:uid="{00000000-0005-0000-0000-00000E000000}"/>
    <cellStyle name="Heading" xfId="1" xr:uid="{00000000-0005-0000-0000-000006000000}"/>
    <cellStyle name="Heading 1" xfId="2" xr:uid="{00000000-0005-0000-0000-000007000000}"/>
    <cellStyle name="Heading 2" xfId="3" xr:uid="{00000000-0005-0000-0000-000008000000}"/>
    <cellStyle name="Hyperlink" xfId="7" xr:uid="{00000000-0005-0000-0000-00000C000000}"/>
    <cellStyle name="Neutral" xfId="10" xr:uid="{00000000-0005-0000-0000-00000F000000}"/>
    <cellStyle name="Note" xfId="5" xr:uid="{00000000-0005-0000-0000-00000A000000}"/>
    <cellStyle name="Status" xfId="8" xr:uid="{00000000-0005-0000-0000-00000D000000}"/>
    <cellStyle name="Text" xfId="4" xr:uid="{00000000-0005-0000-0000-000009000000}"/>
    <cellStyle name="Warning" xfId="12" xr:uid="{00000000-0005-0000-0000-000011000000}"/>
    <cellStyle name="Обычный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K6"/>
  <sheetViews>
    <sheetView zoomScaleNormal="100" workbookViewId="0">
      <selection activeCell="F2" sqref="F2"/>
    </sheetView>
  </sheetViews>
  <sheetFormatPr defaultRowHeight="17.45"/>
  <cols>
    <col min="1" max="5" width="11.5703125" style="1"/>
    <col min="6" max="6" width="19.140625" style="1" customWidth="1"/>
    <col min="7" max="7" width="18.85546875" style="1" customWidth="1"/>
    <col min="8" max="8" width="13" style="1" customWidth="1"/>
    <col min="9" max="9" width="13.7109375" style="1" customWidth="1"/>
    <col min="10" max="1025" width="11.5703125" style="1"/>
  </cols>
  <sheetData>
    <row r="1" spans="1:11" ht="63.4" customHeigh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K1" s="2" t="s">
        <v>9</v>
      </c>
    </row>
    <row r="2" spans="1:11">
      <c r="A2" s="1">
        <v>1</v>
      </c>
      <c r="B2" s="1">
        <v>14.85</v>
      </c>
      <c r="C2" s="1">
        <f>B2-K$2</f>
        <v>4.9999999999998934E-2</v>
      </c>
      <c r="D2" s="1">
        <f>POWER((B2-K$2),2)</f>
        <v>2.4999999999998934E-3</v>
      </c>
      <c r="E2" s="1">
        <f>SUM(C2:C6)/A6+K2</f>
        <v>14.818</v>
      </c>
      <c r="F2" s="1">
        <f>(SUM(D2:D6)-A6*POWER(E2-K2,2))/(A6*(A6-1))</f>
        <v>1.3400000000000247E-4</v>
      </c>
      <c r="G2" s="1">
        <f>SQRT(F2)</f>
        <v>1.1575836902790333E-2</v>
      </c>
      <c r="H2" s="1">
        <f>2.57*G2</f>
        <v>2.9749900840171154E-2</v>
      </c>
      <c r="I2" s="1">
        <f>H2/E2*100</f>
        <v>0.20076866540809254</v>
      </c>
      <c r="K2" s="1">
        <v>14.8</v>
      </c>
    </row>
    <row r="3" spans="1:11">
      <c r="A3" s="1">
        <v>2</v>
      </c>
      <c r="B3" s="1">
        <v>14.8</v>
      </c>
      <c r="C3" s="1">
        <f>B3-K$2</f>
        <v>0</v>
      </c>
      <c r="D3" s="1">
        <f>POWER((B3-K$2),2)</f>
        <v>0</v>
      </c>
    </row>
    <row r="4" spans="1:11">
      <c r="A4" s="1">
        <v>3</v>
      </c>
      <c r="B4" s="1">
        <v>14.79</v>
      </c>
      <c r="C4" s="1">
        <f>B4-K$2</f>
        <v>-1.0000000000001563E-2</v>
      </c>
      <c r="D4" s="1">
        <f>POWER((B4-K$2),2)</f>
        <v>1.0000000000003127E-4</v>
      </c>
    </row>
    <row r="5" spans="1:11">
      <c r="A5" s="1">
        <v>4</v>
      </c>
      <c r="B5" s="1">
        <v>14.84</v>
      </c>
      <c r="C5" s="1">
        <f>B5-K$2</f>
        <v>3.9999999999999147E-2</v>
      </c>
      <c r="D5" s="1">
        <f>POWER((B5-K$2),2)</f>
        <v>1.5999999999999318E-3</v>
      </c>
    </row>
    <row r="6" spans="1:11">
      <c r="A6" s="1">
        <v>5</v>
      </c>
      <c r="B6" s="1">
        <v>14.81</v>
      </c>
      <c r="C6" s="1">
        <f>B6-K$2</f>
        <v>9.9999999999997868E-3</v>
      </c>
      <c r="D6" s="1">
        <f>POWER((B6-K$2),2)</f>
        <v>9.9999999999995736E-5</v>
      </c>
    </row>
  </sheetData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K6"/>
  <sheetViews>
    <sheetView zoomScaleNormal="100" workbookViewId="0">
      <selection activeCell="F2" sqref="F2"/>
    </sheetView>
  </sheetViews>
  <sheetFormatPr defaultRowHeight="17.45"/>
  <cols>
    <col min="1" max="5" width="11.5703125" style="1"/>
    <col min="6" max="6" width="19.140625" style="1" customWidth="1"/>
    <col min="7" max="7" width="18.85546875" style="1" customWidth="1"/>
    <col min="8" max="8" width="13" style="1" customWidth="1"/>
    <col min="9" max="9" width="13.7109375" style="1" customWidth="1"/>
    <col min="10" max="1025" width="11.5703125" style="1"/>
  </cols>
  <sheetData>
    <row r="1" spans="1:11" ht="63.4" customHeigh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K1" s="2" t="s">
        <v>9</v>
      </c>
    </row>
    <row r="2" spans="1:11">
      <c r="A2" s="1">
        <v>1</v>
      </c>
      <c r="B2" s="1">
        <v>7.48</v>
      </c>
      <c r="C2" s="1">
        <f>B2-K$2</f>
        <v>0</v>
      </c>
      <c r="D2" s="1">
        <f>POWER((B2-K$2),2)</f>
        <v>0</v>
      </c>
      <c r="E2" s="1">
        <f>SUM(C2:C6)/A6+K2</f>
        <v>7.492</v>
      </c>
      <c r="F2" s="1">
        <f>(SUM(D2:D6)-A6*POWER(E2-K2,2))/(A6*(A6-1))</f>
        <v>7.399999999999879E-5</v>
      </c>
      <c r="G2" s="1">
        <f>SQRT(F2)</f>
        <v>8.6023252670425557E-3</v>
      </c>
      <c r="H2" s="1">
        <f>2.57*G2</f>
        <v>2.2107975936299366E-2</v>
      </c>
      <c r="I2" s="1">
        <f>H2/E2*100</f>
        <v>0.29508777277495152</v>
      </c>
      <c r="K2" s="1">
        <v>7.48</v>
      </c>
    </row>
    <row r="3" spans="1:11">
      <c r="A3" s="1">
        <v>2</v>
      </c>
      <c r="B3" s="1">
        <v>7.49</v>
      </c>
      <c r="C3" s="1">
        <f>B3-K$2</f>
        <v>9.9999999999997868E-3</v>
      </c>
      <c r="D3" s="1">
        <f>POWER((B3-K$2),2)</f>
        <v>9.9999999999995736E-5</v>
      </c>
    </row>
    <row r="4" spans="1:11">
      <c r="A4" s="1">
        <v>3</v>
      </c>
      <c r="B4" s="1">
        <v>7.52</v>
      </c>
      <c r="C4" s="1">
        <f>B4-K$2</f>
        <v>3.9999999999999147E-2</v>
      </c>
      <c r="D4" s="1">
        <f>POWER((B4-K$2),2)</f>
        <v>1.5999999999999318E-3</v>
      </c>
    </row>
    <row r="5" spans="1:11">
      <c r="A5" s="1">
        <v>4</v>
      </c>
      <c r="B5" s="1">
        <v>7.47</v>
      </c>
      <c r="C5" s="1">
        <f>B5-K$2</f>
        <v>-1.0000000000000675E-2</v>
      </c>
      <c r="D5" s="1">
        <f>POWER((B5-K$2),2)</f>
        <v>1.000000000000135E-4</v>
      </c>
    </row>
    <row r="6" spans="1:11">
      <c r="A6" s="1">
        <v>5</v>
      </c>
      <c r="B6" s="1">
        <v>7.5</v>
      </c>
      <c r="C6" s="1">
        <f>B6-K$2</f>
        <v>1.9999999999999574E-2</v>
      </c>
      <c r="D6" s="1">
        <f>POWER((B6-K$2),2)</f>
        <v>3.9999999999998294E-4</v>
      </c>
    </row>
  </sheetData>
  <pageMargins left="0.78749999999999998" right="0.78749999999999998" top="1.0249999999999999" bottom="1.0249999999999999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"/>
  <sheetViews>
    <sheetView zoomScaleNormal="100" workbookViewId="0">
      <selection activeCell="H2" sqref="H2"/>
    </sheetView>
  </sheetViews>
  <sheetFormatPr defaultRowHeight="17.45"/>
  <cols>
    <col min="1" max="5" width="11.5703125" style="1"/>
    <col min="6" max="6" width="19.140625" style="1" customWidth="1"/>
    <col min="7" max="7" width="18.85546875" style="1" customWidth="1"/>
    <col min="8" max="8" width="13" style="1" customWidth="1"/>
    <col min="9" max="9" width="13.7109375" style="1" customWidth="1"/>
    <col min="10" max="1025" width="11.5703125" style="1"/>
  </cols>
  <sheetData>
    <row r="1" spans="1:11" ht="63.4" customHeigh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K1" s="2" t="s">
        <v>9</v>
      </c>
    </row>
    <row r="2" spans="1:11">
      <c r="A2" s="1">
        <v>1</v>
      </c>
      <c r="B2" s="1">
        <v>47.12</v>
      </c>
      <c r="C2" s="1">
        <f>B2-K$2</f>
        <v>1.9999999999996021E-2</v>
      </c>
      <c r="D2" s="1">
        <f>POWER((B2-K$2),2)</f>
        <v>3.9999999999984086E-4</v>
      </c>
      <c r="E2" s="1">
        <f>SUM(C2:C4)/A4+K2</f>
        <v>47.11</v>
      </c>
      <c r="F2" s="1">
        <f>(SUM(D2:D4)-A4*POWER(E2-K2,2))/(A4*(A4-1))</f>
        <v>2.3333333333335889E-4</v>
      </c>
      <c r="G2" s="1">
        <f>SQRT(F2)</f>
        <v>1.5275252316520303E-2</v>
      </c>
      <c r="H2" s="1">
        <f>3.182*G2</f>
        <v>4.8605852871167601E-2</v>
      </c>
      <c r="I2" s="1">
        <f>H2/E2*100</f>
        <v>0.10317523428394736</v>
      </c>
      <c r="K2" s="1">
        <v>47.1</v>
      </c>
    </row>
    <row r="3" spans="1:11">
      <c r="A3" s="1">
        <v>2</v>
      </c>
      <c r="B3" s="1">
        <v>47.08</v>
      </c>
      <c r="C3" s="1">
        <f>B3-K$2</f>
        <v>-2.0000000000003126E-2</v>
      </c>
      <c r="D3" s="1">
        <f>POWER((B3-K$2),2)</f>
        <v>4.0000000000012508E-4</v>
      </c>
    </row>
    <row r="4" spans="1:11">
      <c r="A4" s="1">
        <v>3</v>
      </c>
      <c r="B4" s="1">
        <v>47.13</v>
      </c>
      <c r="C4" s="1">
        <f>B4-K$2</f>
        <v>3.0000000000001137E-2</v>
      </c>
      <c r="D4" s="1">
        <f>POWER((B4-K$2),2)</f>
        <v>9.0000000000006817E-4</v>
      </c>
    </row>
  </sheetData>
  <pageMargins left="0.78749999999999998" right="0.78749999999999998" top="1.0249999999999999" bottom="1.0249999999999999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12"/>
  <sheetViews>
    <sheetView tabSelected="1" zoomScaleNormal="100" workbookViewId="0">
      <selection activeCell="H11" sqref="A8:H11"/>
    </sheetView>
  </sheetViews>
  <sheetFormatPr defaultRowHeight="17.45"/>
  <cols>
    <col min="1" max="5" width="11.5703125" style="1"/>
    <col min="6" max="6" width="19.140625" style="1" customWidth="1"/>
    <col min="7" max="7" width="18.85546875" style="1" customWidth="1"/>
    <col min="8" max="8" width="13" style="1" customWidth="1"/>
    <col min="9" max="9" width="13.7109375" style="1" customWidth="1"/>
    <col min="10" max="1025" width="11.5703125" style="1"/>
  </cols>
  <sheetData>
    <row r="1" spans="1:11" ht="63.4" customHeight="1">
      <c r="A1" s="2" t="s">
        <v>0</v>
      </c>
      <c r="B1" s="2" t="s">
        <v>10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K1" s="2" t="s">
        <v>9</v>
      </c>
    </row>
    <row r="2" spans="1:11">
      <c r="A2" s="1">
        <v>1</v>
      </c>
      <c r="B2" s="1">
        <v>3.7</v>
      </c>
      <c r="C2" s="1">
        <f>B2-K$2</f>
        <v>0.30000000000000027</v>
      </c>
      <c r="D2" s="1">
        <f>POWER((B2-K$2),2)</f>
        <v>9.0000000000000163E-2</v>
      </c>
      <c r="E2" s="1">
        <f>SUM(C2:C6)/A6+K2</f>
        <v>3.7</v>
      </c>
      <c r="F2" s="1">
        <f>(SUM(D2:D6)-A6*POWER(E2-K2,2))/(A6*(A6-1))</f>
        <v>9.9999999999999707E-3</v>
      </c>
      <c r="G2" s="1">
        <f>SQRT(F2)</f>
        <v>9.9999999999999853E-2</v>
      </c>
      <c r="H2" s="1">
        <f>2.57*G2</f>
        <v>0.25699999999999962</v>
      </c>
      <c r="I2" s="1">
        <f>H2/E2*100</f>
        <v>6.945945945945935</v>
      </c>
      <c r="K2" s="1">
        <v>3.4</v>
      </c>
    </row>
    <row r="3" spans="1:11">
      <c r="A3" s="1">
        <v>2</v>
      </c>
      <c r="B3" s="1">
        <v>3.6</v>
      </c>
      <c r="C3" s="1">
        <f>B3-K$2</f>
        <v>0.20000000000000018</v>
      </c>
      <c r="D3" s="1">
        <f>POWER((B3-K$2),2)</f>
        <v>4.000000000000007E-2</v>
      </c>
    </row>
    <row r="4" spans="1:11">
      <c r="A4" s="1">
        <v>3</v>
      </c>
      <c r="B4" s="1">
        <v>3.4</v>
      </c>
      <c r="C4" s="1">
        <f>B4-K$2</f>
        <v>0</v>
      </c>
      <c r="D4" s="1">
        <f>POWER((B4-K$2),2)</f>
        <v>0</v>
      </c>
    </row>
    <row r="5" spans="1:11">
      <c r="A5" s="1">
        <v>4</v>
      </c>
      <c r="B5" s="1">
        <v>4</v>
      </c>
      <c r="C5" s="1">
        <f>B5-K$2</f>
        <v>0.60000000000000009</v>
      </c>
      <c r="D5" s="1">
        <f>POWER((B5-K$2),2)</f>
        <v>0.3600000000000001</v>
      </c>
    </row>
    <row r="6" spans="1:11">
      <c r="A6" s="1">
        <v>5</v>
      </c>
      <c r="B6" s="1">
        <v>3.8</v>
      </c>
      <c r="C6" s="1">
        <f>B6-K$2</f>
        <v>0.39999999999999991</v>
      </c>
      <c r="D6" s="1">
        <f>POWER((B6-K$2),2)</f>
        <v>0.15999999999999992</v>
      </c>
    </row>
    <row r="7" spans="1:11" ht="18"/>
    <row r="8" spans="1:11" ht="17.45" customHeight="1">
      <c r="A8" s="4" t="s">
        <v>11</v>
      </c>
      <c r="B8" s="4"/>
      <c r="C8" s="4"/>
      <c r="D8" s="4"/>
      <c r="E8" s="4"/>
      <c r="F8" s="4"/>
      <c r="G8" s="4"/>
      <c r="H8" s="4"/>
    </row>
    <row r="9" spans="1:11" ht="17.45" customHeight="1">
      <c r="A9" s="4"/>
      <c r="B9" s="4"/>
      <c r="C9" s="4"/>
      <c r="D9" s="4"/>
      <c r="E9" s="4"/>
      <c r="F9" s="4"/>
      <c r="G9" s="4"/>
      <c r="H9" s="4"/>
    </row>
    <row r="10" spans="1:11" ht="17.45" customHeight="1">
      <c r="A10" s="4"/>
      <c r="B10" s="4"/>
      <c r="C10" s="4"/>
      <c r="D10" s="4"/>
      <c r="E10" s="4"/>
      <c r="F10" s="4"/>
      <c r="G10" s="4"/>
      <c r="H10" s="4"/>
    </row>
    <row r="11" spans="1:11" ht="17.45" customHeight="1">
      <c r="A11" s="4"/>
      <c r="B11" s="4"/>
      <c r="C11" s="4"/>
      <c r="D11" s="4"/>
      <c r="E11" s="4"/>
      <c r="F11" s="4"/>
      <c r="G11" s="4"/>
      <c r="H11" s="4"/>
    </row>
    <row r="12" spans="1:11" ht="18"/>
  </sheetData>
  <mergeCells count="1">
    <mergeCell ref="A8:H11"/>
  </mergeCells>
  <pageMargins left="0.78749999999999998" right="0.78749999999999998" top="1.0249999999999999" bottom="1.0249999999999999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8"/>
  <sheetViews>
    <sheetView topLeftCell="A5" zoomScaleNormal="100" workbookViewId="0">
      <selection activeCell="B18" sqref="B18"/>
    </sheetView>
  </sheetViews>
  <sheetFormatPr defaultRowHeight="17.45"/>
  <cols>
    <col min="1" max="5" width="11.5703125" style="1"/>
    <col min="6" max="6" width="19.140625" style="1" customWidth="1"/>
    <col min="7" max="7" width="18.85546875" style="1" customWidth="1"/>
    <col min="8" max="8" width="13" style="1" customWidth="1"/>
    <col min="9" max="9" width="13.7109375" style="1" customWidth="1"/>
    <col min="10" max="1025" width="11.5703125" style="1"/>
  </cols>
  <sheetData>
    <row r="1" spans="1:11" ht="63.4" customHeight="1">
      <c r="A1" s="2" t="s">
        <v>0</v>
      </c>
      <c r="B1" s="2" t="s">
        <v>12</v>
      </c>
      <c r="C1" s="2" t="s">
        <v>13</v>
      </c>
      <c r="D1" s="2" t="s">
        <v>14</v>
      </c>
      <c r="E1" s="3" t="s">
        <v>15</v>
      </c>
      <c r="F1" s="3" t="s">
        <v>5</v>
      </c>
      <c r="G1" s="3" t="s">
        <v>6</v>
      </c>
      <c r="H1" s="3" t="s">
        <v>7</v>
      </c>
      <c r="I1" s="3" t="s">
        <v>8</v>
      </c>
      <c r="K1" s="2" t="s">
        <v>16</v>
      </c>
    </row>
    <row r="2" spans="1:11">
      <c r="A2" s="1">
        <v>1</v>
      </c>
      <c r="B2" s="1">
        <v>12.7</v>
      </c>
      <c r="C2" s="1">
        <f>B2-K$2</f>
        <v>0</v>
      </c>
      <c r="D2" s="1">
        <f>POWER((B2-K$2),2)</f>
        <v>0</v>
      </c>
      <c r="E2" s="1">
        <f>SUM(C2:C4)/A4+K2</f>
        <v>12.8</v>
      </c>
      <c r="F2" s="1">
        <f>(SUM(D2:D4)-A4*POWER(E2-K2,2))/(A4*(A4-1))</f>
        <v>3.3333333333333097E-3</v>
      </c>
      <c r="G2" s="1">
        <f>SQRT(F2)</f>
        <v>5.7735026918962373E-2</v>
      </c>
      <c r="H2" s="1">
        <f>3.182*G2</f>
        <v>0.18371285565613826</v>
      </c>
      <c r="I2" s="1">
        <f>H2/E2*100</f>
        <v>1.4352566848135802</v>
      </c>
      <c r="K2" s="1">
        <v>12.7</v>
      </c>
    </row>
    <row r="3" spans="1:11">
      <c r="A3" s="1">
        <v>2</v>
      </c>
      <c r="B3" s="1">
        <v>12.8</v>
      </c>
      <c r="C3" s="1">
        <f>B3-K$2</f>
        <v>0.10000000000000142</v>
      </c>
      <c r="D3" s="1">
        <f>POWER((B3-K$2),2)</f>
        <v>1.0000000000000285E-2</v>
      </c>
    </row>
    <row r="4" spans="1:11">
      <c r="A4" s="1">
        <v>3</v>
      </c>
      <c r="B4" s="1">
        <v>12.9</v>
      </c>
      <c r="C4" s="1">
        <f>B4-K$2</f>
        <v>0.20000000000000107</v>
      </c>
      <c r="D4" s="1">
        <f>POWER((B4-K$2),2)</f>
        <v>4.0000000000000424E-2</v>
      </c>
    </row>
    <row r="7" spans="1:11" ht="72">
      <c r="A7" s="2" t="s">
        <v>0</v>
      </c>
      <c r="B7" s="2" t="s">
        <v>17</v>
      </c>
      <c r="C7" s="2" t="s">
        <v>18</v>
      </c>
      <c r="D7" s="2" t="s">
        <v>19</v>
      </c>
      <c r="E7" s="3" t="s">
        <v>20</v>
      </c>
      <c r="F7" s="3" t="s">
        <v>5</v>
      </c>
      <c r="G7" s="3" t="s">
        <v>6</v>
      </c>
      <c r="H7" s="3" t="s">
        <v>7</v>
      </c>
      <c r="I7" s="3" t="s">
        <v>8</v>
      </c>
      <c r="K7" s="2" t="s">
        <v>21</v>
      </c>
    </row>
    <row r="8" spans="1:11">
      <c r="A8" s="1">
        <v>1</v>
      </c>
      <c r="B8" s="1">
        <v>12.7</v>
      </c>
      <c r="C8" s="1">
        <f>B8-K$8</f>
        <v>-0.10000000000000142</v>
      </c>
      <c r="D8" s="1">
        <f>POWER((B8-K$8),2)</f>
        <v>1.0000000000000285E-2</v>
      </c>
      <c r="E8" s="1">
        <f>SUM(C8:C10)/A10+K8</f>
        <v>12.7</v>
      </c>
      <c r="F8" s="1">
        <f>(SUM(D8:D10)-A10*POWER(E8-K8,2))/(A10*(A10-1))</f>
        <v>0</v>
      </c>
      <c r="G8" s="1">
        <f>SQRT(F8)</f>
        <v>0</v>
      </c>
      <c r="H8" s="1">
        <f>3.182*G8</f>
        <v>0</v>
      </c>
      <c r="I8" s="1">
        <f>H8/E8*100</f>
        <v>0</v>
      </c>
      <c r="K8" s="1">
        <v>12.8</v>
      </c>
    </row>
    <row r="9" spans="1:11">
      <c r="A9" s="1">
        <v>2</v>
      </c>
      <c r="B9" s="1">
        <v>12.7</v>
      </c>
      <c r="C9" s="1">
        <f>B9-K$8</f>
        <v>-0.10000000000000142</v>
      </c>
      <c r="D9" s="1">
        <f>POWER((B9-K$8),2)</f>
        <v>1.0000000000000285E-2</v>
      </c>
    </row>
    <row r="10" spans="1:11">
      <c r="A10" s="1">
        <v>3</v>
      </c>
      <c r="B10" s="1">
        <v>12.7</v>
      </c>
      <c r="C10" s="1">
        <f>B10-K$8</f>
        <v>-0.10000000000000142</v>
      </c>
      <c r="D10" s="1">
        <f>POWER((B10-K$8),2)</f>
        <v>1.0000000000000285E-2</v>
      </c>
    </row>
    <row r="13" spans="1:11" ht="54">
      <c r="A13" s="2" t="s">
        <v>0</v>
      </c>
      <c r="B13" s="2" t="s">
        <v>22</v>
      </c>
      <c r="C13" s="2" t="s">
        <v>23</v>
      </c>
      <c r="D13" s="2" t="s">
        <v>24</v>
      </c>
      <c r="E13" s="3" t="s">
        <v>25</v>
      </c>
      <c r="F13" s="3" t="s">
        <v>5</v>
      </c>
      <c r="G13" s="3" t="s">
        <v>6</v>
      </c>
      <c r="H13" s="3" t="s">
        <v>7</v>
      </c>
      <c r="I13" s="3" t="s">
        <v>8</v>
      </c>
      <c r="K13" s="2" t="s">
        <v>26</v>
      </c>
    </row>
    <row r="14" spans="1:11">
      <c r="A14" s="1">
        <v>1</v>
      </c>
      <c r="B14" s="1">
        <v>14.8</v>
      </c>
      <c r="C14" s="1">
        <f>B14-K$14</f>
        <v>0</v>
      </c>
      <c r="D14" s="1">
        <f>POWER((B14-K$14),2)</f>
        <v>0</v>
      </c>
      <c r="E14" s="1">
        <f>SUM(C14:C16)/A16+K14</f>
        <v>14.8</v>
      </c>
      <c r="F14" s="1">
        <f>(SUM(D14:D16)-A16*POWER(E14-K14,2))/(A16*(A16-1))</f>
        <v>3.3333333333333687E-3</v>
      </c>
      <c r="G14" s="1">
        <f>SQRT(F14)</f>
        <v>5.773502691896288E-2</v>
      </c>
      <c r="H14" s="1">
        <f>3.182*G14</f>
        <v>0.18371285565613987</v>
      </c>
      <c r="I14" s="1">
        <f>H14/E14*100</f>
        <v>1.2413030787577017</v>
      </c>
      <c r="K14" s="1">
        <v>14.8</v>
      </c>
    </row>
    <row r="15" spans="1:11">
      <c r="A15" s="1">
        <v>2</v>
      </c>
      <c r="B15" s="1">
        <v>14.9</v>
      </c>
      <c r="C15" s="1">
        <f>B15-K$14</f>
        <v>9.9999999999999645E-2</v>
      </c>
      <c r="D15" s="1">
        <f>POWER((B15-K$14),2)</f>
        <v>9.9999999999999291E-3</v>
      </c>
    </row>
    <row r="16" spans="1:11">
      <c r="A16" s="1">
        <v>3</v>
      </c>
      <c r="B16" s="1">
        <v>14.7</v>
      </c>
      <c r="C16" s="1">
        <f>B16-K$14</f>
        <v>-0.10000000000000142</v>
      </c>
      <c r="D16" s="1">
        <f>POWER((B16-K$14),2)</f>
        <v>1.0000000000000285E-2</v>
      </c>
    </row>
    <row r="18" spans="1:2">
      <c r="A18" s="1" t="s">
        <v>27</v>
      </c>
      <c r="B18" s="1">
        <f>(E2+E8)/2*E14</f>
        <v>188.70000000000002</v>
      </c>
    </row>
  </sheetData>
  <pageMargins left="0.78749999999999998" right="0.78749999999999998" top="1.0249999999999999" bottom="1.0249999999999999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5</cp:revision>
  <dcterms:created xsi:type="dcterms:W3CDTF">2019-09-13T11:55:05Z</dcterms:created>
  <dcterms:modified xsi:type="dcterms:W3CDTF">2019-09-26T15:48:09Z</dcterms:modified>
  <cp:category/>
  <cp:contentStatus/>
</cp:coreProperties>
</file>